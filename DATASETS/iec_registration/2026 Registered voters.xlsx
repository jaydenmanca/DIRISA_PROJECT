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bang Matsepe\Desktop\"/>
    </mc:Choice>
  </mc:AlternateContent>
  <xr:revisionPtr revIDLastSave="0" documentId="8_{AFCCA6B7-E702-4538-9BB3-0C58BA2D946B}" xr6:coauthVersionLast="47" xr6:coauthVersionMax="47" xr10:uidLastSave="{00000000-0000-0000-0000-000000000000}"/>
  <bookViews>
    <workbookView xWindow="-120" yWindow="-120" windowWidth="29040" windowHeight="15720" xr2:uid="{4C7D1C60-FB20-43A7-A4A5-B3E2267AF8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7" i="1" l="1"/>
  <c r="J6" i="1"/>
  <c r="F39" i="1"/>
  <c r="G23" i="1" s="1"/>
  <c r="E15" i="1"/>
  <c r="F15" i="1"/>
  <c r="B6" i="1"/>
  <c r="B7" i="1"/>
  <c r="B8" i="1"/>
  <c r="B9" i="1"/>
  <c r="B10" i="1"/>
  <c r="B11" i="1"/>
  <c r="B12" i="1"/>
  <c r="B13" i="1"/>
  <c r="B5" i="1"/>
  <c r="B15" i="1" s="1"/>
  <c r="G38" i="1" l="1"/>
  <c r="G30" i="1"/>
  <c r="G37" i="1"/>
  <c r="G29" i="1"/>
  <c r="G34" i="1"/>
  <c r="G26" i="1"/>
  <c r="I6" i="1"/>
  <c r="G33" i="1"/>
  <c r="G25" i="1"/>
  <c r="I7" i="1"/>
  <c r="G36" i="1"/>
  <c r="G32" i="1"/>
  <c r="G28" i="1"/>
  <c r="G24" i="1"/>
  <c r="G22" i="1"/>
  <c r="G35" i="1"/>
  <c r="G31" i="1"/>
  <c r="G27" i="1"/>
</calcChain>
</file>

<file path=xl/sharedStrings.xml><?xml version="1.0" encoding="utf-8"?>
<sst xmlns="http://schemas.openxmlformats.org/spreadsheetml/2006/main" count="67" uniqueCount="51">
  <si>
    <t>Provinces</t>
  </si>
  <si>
    <t>Eastern Cape</t>
  </si>
  <si>
    <t>Free State</t>
  </si>
  <si>
    <t>Gauteng</t>
  </si>
  <si>
    <t>Kwazulu-natal</t>
  </si>
  <si>
    <t>Mpumalanga</t>
  </si>
  <si>
    <t>Northern Cape</t>
  </si>
  <si>
    <t>Limpopo</t>
  </si>
  <si>
    <t>North West</t>
  </si>
  <si>
    <t>Western Cape</t>
  </si>
  <si>
    <t>Reg_Voters</t>
  </si>
  <si>
    <t>Registered Voters by province</t>
  </si>
  <si>
    <t>Registered voters demographic by age-group and gender</t>
  </si>
  <si>
    <t>Age_group</t>
  </si>
  <si>
    <t>18 - 19</t>
  </si>
  <si>
    <t>20 - 29</t>
  </si>
  <si>
    <t>30 - 39</t>
  </si>
  <si>
    <t>40 - 49</t>
  </si>
  <si>
    <t>50 - 59</t>
  </si>
  <si>
    <t>60 - 69</t>
  </si>
  <si>
    <t>70 - 79</t>
  </si>
  <si>
    <t>80+</t>
  </si>
  <si>
    <t>Gender</t>
  </si>
  <si>
    <t>Male</t>
  </si>
  <si>
    <t>Female</t>
  </si>
  <si>
    <t>Total</t>
  </si>
  <si>
    <t>Registered voters count by province by municipality</t>
  </si>
  <si>
    <t>Municipality</t>
  </si>
  <si>
    <t>MP326 - City of Mbombela</t>
  </si>
  <si>
    <t>MP325 - Bushbuckridge</t>
  </si>
  <si>
    <t>MP324 - Nkomazi</t>
  </si>
  <si>
    <t>MP301 - Chief Albert Luthuli</t>
  </si>
  <si>
    <t>MP302 - Msukalinga</t>
  </si>
  <si>
    <t>MP303 - Mkhondo</t>
  </si>
  <si>
    <t>MP304 - Dr Pixley Ka Isaka Seme</t>
  </si>
  <si>
    <t>MP305 - Lekwa</t>
  </si>
  <si>
    <t>MP306 - Dipaleseng</t>
  </si>
  <si>
    <t>MP307 - Govan Mbeki</t>
  </si>
  <si>
    <t>MP311 - Victor Khanye</t>
  </si>
  <si>
    <t>MP312 - Emalahleni</t>
  </si>
  <si>
    <t>MP313 - Steve Tshwete</t>
  </si>
  <si>
    <t>MP314 - Emlahleni</t>
  </si>
  <si>
    <t>MP315 - Thembisile Hani</t>
  </si>
  <si>
    <t>MP316 - Dr JS Moroka</t>
  </si>
  <si>
    <t>MP321 - Thaba chweu</t>
  </si>
  <si>
    <t>%/Municipality</t>
  </si>
  <si>
    <t>Total Number of Registered voters in Mpumalanga</t>
  </si>
  <si>
    <t>Overall</t>
  </si>
  <si>
    <t xml:space="preserve">Males </t>
  </si>
  <si>
    <t>Females</t>
  </si>
  <si>
    <t>Percentages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</si>
</sst>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0" fontId="0" fillId="0" borderId="0" xfId="1" applyNumberFormat="1" applyFont="1"/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</cellXfs>
  <cellStyles count="2">
    <cellStyle name="Normal" xfId="0" builtinId="0"/>
    <cellStyle name="Percent" xfId="1" builtinId="5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967158-ABAD-449F-A617-B03EE788FCDA}" name="Table2" displayName="Table2" ref="A4:B15" headerRowCount="0" totalsRowShown="0" headerRowDxfId="13">
  <tableColumns count="2">
    <tableColumn id="1" xr3:uid="{027FFF62-8F7D-4A50-8B97-84FF6311B914}" name="Column1" headerRowDxfId="11"/>
    <tableColumn id="2" xr3:uid="{54C8A27F-1CE5-4CA7-A64C-E7E63D25BC97}" name="Column2" headerRowDxfId="12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8942EC-5137-4B7B-8BBA-5C08CA547F55}" name="Table3" displayName="Table3" ref="H4:J7" headerRowCount="0" totalsRowShown="0" headerRowDxfId="10">
  <tableColumns count="3">
    <tableColumn id="1" xr3:uid="{D6AD4B0E-844F-46C2-8B41-5BDC2840A983}" name="Column1" headerRowDxfId="7"/>
    <tableColumn id="2" xr3:uid="{DF3E81B5-CA41-499E-A1A4-199B6683D237}" name="Column2" headerRowDxfId="8"/>
    <tableColumn id="3" xr3:uid="{85576CF9-E485-433B-A648-A07A3D30C203}" name="Column3" headerRowDxfId="9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92CFCB-2A46-49EE-8017-88A8C3A7B2FE}" name="Table4" displayName="Table4" ref="E21:G38" headerRowCount="0" totalsRowShown="0">
  <tableColumns count="3">
    <tableColumn id="1" xr3:uid="{D00D122C-2B11-4212-82B9-10570518D794}" name="Column1" headerRowDxfId="3"/>
    <tableColumn id="2" xr3:uid="{BCCA2F53-E070-4CDF-97AD-35DE26D33049}" name="Column2" headerRowDxfId="4"/>
    <tableColumn id="3" xr3:uid="{E5CBA968-0F31-4407-B607-CC26FCAC0146}" name="Column3" headerRowDxfId="5" dataDxfId="6" dataCellStyle="Percent">
      <calculatedColumnFormula>F21/$F$39</calculatedColumnFormula>
    </tableColumn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4F423AD-C7BC-4335-9688-687E70808A64}" name="Table5" displayName="Table5" ref="A22:C30" headerRowCount="0" totalsRowShown="0">
  <tableColumns count="3">
    <tableColumn id="1" xr3:uid="{B00713DF-724E-4987-8FF4-61B4AAA9C464}" name="Column1" headerRowDxfId="0"/>
    <tableColumn id="2" xr3:uid="{53855262-D904-4097-BA02-E1D885EB1C3B}" name="Column2" headerRowDxfId="1"/>
    <tableColumn id="3" xr3:uid="{FC55E503-BB17-4666-94B9-4A15965163B3}" name="Column3" headerRowDxfId="2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6B8AA-5F31-4161-AB85-6E760F35B158}">
  <dimension ref="A3:J39"/>
  <sheetViews>
    <sheetView tabSelected="1" topLeftCell="A4" workbookViewId="0">
      <selection activeCell="F15" sqref="F15"/>
    </sheetView>
  </sheetViews>
  <sheetFormatPr defaultRowHeight="15" x14ac:dyDescent="0.25"/>
  <cols>
    <col min="1" max="1" width="13.85546875" bestFit="1" customWidth="1"/>
    <col min="2" max="2" width="14.85546875" customWidth="1"/>
    <col min="3" max="3" width="11.28515625" customWidth="1"/>
    <col min="4" max="4" width="10.140625" bestFit="1" customWidth="1"/>
    <col min="5" max="5" width="46.85546875" bestFit="1" customWidth="1"/>
    <col min="6" max="6" width="11.28515625" customWidth="1"/>
    <col min="7" max="7" width="14.28515625" bestFit="1" customWidth="1"/>
    <col min="8" max="8" width="11.5703125" customWidth="1"/>
    <col min="9" max="9" width="11.7109375" bestFit="1" customWidth="1"/>
    <col min="10" max="10" width="11.5703125" customWidth="1"/>
  </cols>
  <sheetData>
    <row r="3" spans="1:10" ht="15.75" customHeight="1" x14ac:dyDescent="0.25">
      <c r="A3" s="3" t="s">
        <v>11</v>
      </c>
      <c r="B3" s="2"/>
      <c r="D3" s="5" t="s">
        <v>12</v>
      </c>
      <c r="E3" s="5"/>
      <c r="F3" s="5"/>
    </row>
    <row r="4" spans="1:10" ht="15.75" x14ac:dyDescent="0.25">
      <c r="A4" s="1" t="s">
        <v>0</v>
      </c>
      <c r="B4" s="1" t="s">
        <v>10</v>
      </c>
      <c r="D4" s="5"/>
      <c r="E4" s="5"/>
      <c r="F4" s="5"/>
      <c r="H4" s="4"/>
      <c r="I4" s="4" t="s">
        <v>47</v>
      </c>
      <c r="J4" s="4"/>
    </row>
    <row r="5" spans="1:10" x14ac:dyDescent="0.25">
      <c r="A5" t="s">
        <v>1</v>
      </c>
      <c r="B5">
        <f>3627731</f>
        <v>3627731</v>
      </c>
      <c r="E5" s="7" t="s">
        <v>22</v>
      </c>
      <c r="F5" s="7"/>
      <c r="H5" s="8" t="s">
        <v>22</v>
      </c>
      <c r="I5" s="8" t="s">
        <v>50</v>
      </c>
      <c r="J5" s="8" t="s">
        <v>25</v>
      </c>
    </row>
    <row r="6" spans="1:10" x14ac:dyDescent="0.25">
      <c r="A6" t="s">
        <v>2</v>
      </c>
      <c r="B6">
        <f>1533038</f>
        <v>1533038</v>
      </c>
      <c r="D6" s="8" t="s">
        <v>13</v>
      </c>
      <c r="E6" s="6" t="s">
        <v>23</v>
      </c>
      <c r="F6" s="6" t="s">
        <v>24</v>
      </c>
      <c r="H6" s="8" t="s">
        <v>48</v>
      </c>
      <c r="I6" s="9">
        <f>J6/$F$39</f>
        <v>0.45219868929920048</v>
      </c>
      <c r="J6">
        <f>SUM(B23:B30)</f>
        <v>981126</v>
      </c>
    </row>
    <row r="7" spans="1:10" x14ac:dyDescent="0.25">
      <c r="A7" t="s">
        <v>3</v>
      </c>
      <c r="B7">
        <f>6749751</f>
        <v>6749751</v>
      </c>
      <c r="D7" t="s">
        <v>14</v>
      </c>
      <c r="E7">
        <v>311130</v>
      </c>
      <c r="F7">
        <v>388850</v>
      </c>
      <c r="H7" s="8" t="s">
        <v>49</v>
      </c>
      <c r="I7" s="9">
        <f>J7/$F$39</f>
        <v>0.54780131070079952</v>
      </c>
      <c r="J7">
        <f>SUM(C23:C30)</f>
        <v>1188553</v>
      </c>
    </row>
    <row r="8" spans="1:10" x14ac:dyDescent="0.25">
      <c r="A8" t="s">
        <v>4</v>
      </c>
      <c r="B8">
        <f>6028841</f>
        <v>6028841</v>
      </c>
      <c r="D8" t="s">
        <v>15</v>
      </c>
      <c r="E8">
        <v>2157224</v>
      </c>
      <c r="F8">
        <v>2686296</v>
      </c>
    </row>
    <row r="9" spans="1:10" x14ac:dyDescent="0.25">
      <c r="A9" t="s">
        <v>5</v>
      </c>
      <c r="B9">
        <f>2169679</f>
        <v>2169679</v>
      </c>
      <c r="D9" t="s">
        <v>16</v>
      </c>
      <c r="E9">
        <v>3120250</v>
      </c>
      <c r="F9">
        <v>3658421</v>
      </c>
    </row>
    <row r="10" spans="1:10" x14ac:dyDescent="0.25">
      <c r="A10" t="s">
        <v>6</v>
      </c>
      <c r="B10">
        <f>713681</f>
        <v>713681</v>
      </c>
      <c r="D10" t="s">
        <v>17</v>
      </c>
      <c r="E10">
        <v>2994058</v>
      </c>
      <c r="F10">
        <v>3316801</v>
      </c>
    </row>
    <row r="11" spans="1:10" x14ac:dyDescent="0.25">
      <c r="A11" t="s">
        <v>7</v>
      </c>
      <c r="B11">
        <f>3036929</f>
        <v>3036929</v>
      </c>
      <c r="D11" t="s">
        <v>18</v>
      </c>
      <c r="E11">
        <v>2209207</v>
      </c>
      <c r="F11">
        <v>2602342</v>
      </c>
    </row>
    <row r="12" spans="1:10" x14ac:dyDescent="0.25">
      <c r="A12" t="s">
        <v>8</v>
      </c>
      <c r="B12">
        <f>1907041</f>
        <v>1907041</v>
      </c>
      <c r="D12" t="s">
        <v>19</v>
      </c>
      <c r="E12">
        <v>1405387</v>
      </c>
      <c r="F12">
        <v>1925501</v>
      </c>
    </row>
    <row r="13" spans="1:10" x14ac:dyDescent="0.25">
      <c r="A13" t="s">
        <v>9</v>
      </c>
      <c r="B13">
        <f>3456354</f>
        <v>3456354</v>
      </c>
      <c r="D13" t="s">
        <v>20</v>
      </c>
      <c r="E13">
        <v>642731</v>
      </c>
      <c r="F13">
        <v>1030600</v>
      </c>
    </row>
    <row r="14" spans="1:10" x14ac:dyDescent="0.25">
      <c r="D14" t="s">
        <v>21</v>
      </c>
      <c r="E14">
        <v>231409</v>
      </c>
      <c r="F14">
        <v>542838</v>
      </c>
    </row>
    <row r="15" spans="1:10" x14ac:dyDescent="0.25">
      <c r="A15" s="8" t="s">
        <v>25</v>
      </c>
      <c r="B15" s="8">
        <f xml:space="preserve"> SUM(B5:B13)</f>
        <v>29223045</v>
      </c>
      <c r="E15" s="8">
        <f>SUM(E7:E14)</f>
        <v>13071396</v>
      </c>
      <c r="F15">
        <f>SUM(F7:F14)</f>
        <v>16151649</v>
      </c>
    </row>
    <row r="18" spans="1:7" ht="15" customHeight="1" x14ac:dyDescent="0.25">
      <c r="A18" s="11" t="s">
        <v>12</v>
      </c>
      <c r="B18" s="11"/>
      <c r="C18" s="11"/>
      <c r="E18" s="10" t="s">
        <v>26</v>
      </c>
      <c r="F18" s="10"/>
      <c r="G18" s="10"/>
    </row>
    <row r="19" spans="1:7" x14ac:dyDescent="0.25">
      <c r="A19" s="11"/>
      <c r="B19" s="11"/>
      <c r="C19" s="11"/>
      <c r="E19" s="10"/>
      <c r="F19" s="10"/>
      <c r="G19" s="10"/>
    </row>
    <row r="20" spans="1:7" x14ac:dyDescent="0.25">
      <c r="B20" s="7" t="s">
        <v>22</v>
      </c>
      <c r="C20" s="7"/>
    </row>
    <row r="21" spans="1:7" x14ac:dyDescent="0.25">
      <c r="E21" s="6" t="s">
        <v>27</v>
      </c>
      <c r="F21" s="8" t="s">
        <v>10</v>
      </c>
      <c r="G21" s="8" t="s">
        <v>45</v>
      </c>
    </row>
    <row r="22" spans="1:7" x14ac:dyDescent="0.25">
      <c r="A22" s="8" t="s">
        <v>13</v>
      </c>
      <c r="B22" s="6" t="s">
        <v>23</v>
      </c>
      <c r="C22" s="6" t="s">
        <v>24</v>
      </c>
      <c r="E22" t="s">
        <v>31</v>
      </c>
      <c r="F22">
        <v>104214</v>
      </c>
      <c r="G22" s="9">
        <f>F22/$F$39</f>
        <v>4.8031989985615385E-2</v>
      </c>
    </row>
    <row r="23" spans="1:7" x14ac:dyDescent="0.25">
      <c r="A23" t="s">
        <v>14</v>
      </c>
      <c r="B23">
        <v>22982</v>
      </c>
      <c r="C23">
        <v>28492</v>
      </c>
      <c r="E23" t="s">
        <v>32</v>
      </c>
      <c r="F23">
        <v>77002</v>
      </c>
      <c r="G23" s="9">
        <f t="shared" ref="G23:G38" si="0">F23/$F$39</f>
        <v>3.5490042536246144E-2</v>
      </c>
    </row>
    <row r="24" spans="1:7" x14ac:dyDescent="0.25">
      <c r="A24" t="s">
        <v>15</v>
      </c>
      <c r="B24">
        <v>170015</v>
      </c>
      <c r="C24">
        <v>206426</v>
      </c>
      <c r="E24" t="s">
        <v>33</v>
      </c>
      <c r="F24">
        <v>80036</v>
      </c>
      <c r="G24" s="9">
        <f t="shared" si="0"/>
        <v>3.6888406072972085E-2</v>
      </c>
    </row>
    <row r="25" spans="1:7" x14ac:dyDescent="0.25">
      <c r="A25" t="s">
        <v>16</v>
      </c>
      <c r="B25">
        <v>255145</v>
      </c>
      <c r="C25">
        <v>294043</v>
      </c>
      <c r="E25" t="s">
        <v>34</v>
      </c>
      <c r="F25">
        <v>44544</v>
      </c>
      <c r="G25" s="9">
        <f t="shared" si="0"/>
        <v>2.0530225899775958E-2</v>
      </c>
    </row>
    <row r="26" spans="1:7" x14ac:dyDescent="0.25">
      <c r="A26" t="s">
        <v>17</v>
      </c>
      <c r="B26">
        <v>229703</v>
      </c>
      <c r="C26">
        <v>249893</v>
      </c>
      <c r="E26" t="s">
        <v>35</v>
      </c>
      <c r="F26">
        <v>56705</v>
      </c>
      <c r="G26" s="9">
        <f t="shared" si="0"/>
        <v>2.6135202488478712E-2</v>
      </c>
    </row>
    <row r="27" spans="1:7" x14ac:dyDescent="0.25">
      <c r="A27" t="s">
        <v>18</v>
      </c>
      <c r="B27">
        <v>152644</v>
      </c>
      <c r="C27">
        <v>183224</v>
      </c>
      <c r="E27" t="s">
        <v>36</v>
      </c>
      <c r="F27">
        <v>22879</v>
      </c>
      <c r="G27" s="9">
        <f t="shared" si="0"/>
        <v>1.0544877836767559E-2</v>
      </c>
    </row>
    <row r="28" spans="1:7" x14ac:dyDescent="0.25">
      <c r="A28" t="s">
        <v>19</v>
      </c>
      <c r="B28">
        <v>96232</v>
      </c>
      <c r="C28">
        <v>127394</v>
      </c>
      <c r="E28" t="s">
        <v>37</v>
      </c>
      <c r="F28">
        <v>155050</v>
      </c>
      <c r="G28" s="9">
        <f t="shared" si="0"/>
        <v>7.1462184037362209E-2</v>
      </c>
    </row>
    <row r="29" spans="1:7" x14ac:dyDescent="0.25">
      <c r="A29" t="s">
        <v>20</v>
      </c>
      <c r="B29">
        <v>41452</v>
      </c>
      <c r="C29">
        <v>64985</v>
      </c>
      <c r="E29" t="s">
        <v>38</v>
      </c>
      <c r="F29">
        <v>41042</v>
      </c>
      <c r="G29" s="9">
        <f t="shared" si="0"/>
        <v>1.8916162252572845E-2</v>
      </c>
    </row>
    <row r="30" spans="1:7" x14ac:dyDescent="0.25">
      <c r="A30" t="s">
        <v>21</v>
      </c>
      <c r="B30">
        <v>12953</v>
      </c>
      <c r="C30">
        <v>34096</v>
      </c>
      <c r="E30" t="s">
        <v>39</v>
      </c>
      <c r="F30">
        <v>219566</v>
      </c>
      <c r="G30" s="9">
        <f t="shared" si="0"/>
        <v>0.10119745824151867</v>
      </c>
    </row>
    <row r="31" spans="1:7" x14ac:dyDescent="0.25">
      <c r="E31" t="s">
        <v>40</v>
      </c>
      <c r="F31">
        <v>122204</v>
      </c>
      <c r="G31" s="9">
        <f t="shared" si="0"/>
        <v>5.6323539104171629E-2</v>
      </c>
    </row>
    <row r="32" spans="1:7" x14ac:dyDescent="0.25">
      <c r="E32" t="s">
        <v>41</v>
      </c>
      <c r="F32">
        <v>27794</v>
      </c>
      <c r="G32" s="9">
        <f t="shared" si="0"/>
        <v>1.2810189894449825E-2</v>
      </c>
    </row>
    <row r="33" spans="5:7" x14ac:dyDescent="0.25">
      <c r="E33" t="s">
        <v>42</v>
      </c>
      <c r="F33">
        <v>168952</v>
      </c>
      <c r="G33" s="9">
        <f t="shared" si="0"/>
        <v>7.7869583472946924E-2</v>
      </c>
    </row>
    <row r="34" spans="5:7" x14ac:dyDescent="0.25">
      <c r="E34" t="s">
        <v>43</v>
      </c>
      <c r="F34">
        <v>133689</v>
      </c>
      <c r="G34" s="9">
        <f t="shared" si="0"/>
        <v>6.1616948866629578E-2</v>
      </c>
    </row>
    <row r="35" spans="5:7" x14ac:dyDescent="0.25">
      <c r="E35" t="s">
        <v>44</v>
      </c>
      <c r="F35">
        <v>57588</v>
      </c>
      <c r="G35" s="9">
        <f t="shared" si="0"/>
        <v>2.6542175132819187E-2</v>
      </c>
    </row>
    <row r="36" spans="5:7" x14ac:dyDescent="0.25">
      <c r="E36" t="s">
        <v>30</v>
      </c>
      <c r="F36">
        <v>202483</v>
      </c>
      <c r="G36" s="9">
        <f t="shared" si="0"/>
        <v>9.3323943311429944E-2</v>
      </c>
    </row>
    <row r="37" spans="5:7" x14ac:dyDescent="0.25">
      <c r="E37" t="s">
        <v>29</v>
      </c>
      <c r="F37">
        <v>293223</v>
      </c>
      <c r="G37" s="9">
        <f t="shared" si="0"/>
        <v>0.13514579806505939</v>
      </c>
    </row>
    <row r="38" spans="5:7" x14ac:dyDescent="0.25">
      <c r="E38" t="s">
        <v>28</v>
      </c>
      <c r="F38">
        <v>362708</v>
      </c>
      <c r="G38" s="9">
        <f t="shared" si="0"/>
        <v>0.16717127280118396</v>
      </c>
    </row>
    <row r="39" spans="5:7" x14ac:dyDescent="0.25">
      <c r="E39" t="s">
        <v>46</v>
      </c>
      <c r="F39">
        <f>SUM(F22:F38)</f>
        <v>2169679</v>
      </c>
    </row>
  </sheetData>
  <mergeCells count="6">
    <mergeCell ref="A18:C19"/>
    <mergeCell ref="B20:C20"/>
    <mergeCell ref="E18:G19"/>
    <mergeCell ref="A3:B3"/>
    <mergeCell ref="E5:F5"/>
    <mergeCell ref="D3:F4"/>
  </mergeCells>
  <phoneticPr fontId="4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F761D7CE4DA342AE895CE291766DF0" ma:contentTypeVersion="4" ma:contentTypeDescription="Create a new document." ma:contentTypeScope="" ma:versionID="4cd795ecd535d590987d04387c08f82c">
  <xsd:schema xmlns:xsd="http://www.w3.org/2001/XMLSchema" xmlns:xs="http://www.w3.org/2001/XMLSchema" xmlns:p="http://schemas.microsoft.com/office/2006/metadata/properties" xmlns:ns3="c1650999-6932-41a9-a8a2-2409f645d9bf" targetNamespace="http://schemas.microsoft.com/office/2006/metadata/properties" ma:root="true" ma:fieldsID="8d5206bab86944a39258034443b055c8" ns3:_="">
    <xsd:import namespace="c1650999-6932-41a9-a8a2-2409f645d9b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650999-6932-41a9-a8a2-2409f645d9b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F953F2-1F3E-4B14-933E-B69788A339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650999-6932-41a9-a8a2-2409f645d9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5810BF-7093-4220-A694-EA896B156A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96D86B-5351-43A8-B762-110BEF38F5D9}">
  <ds:schemaRefs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purl.org/dc/dcmitype/"/>
    <ds:schemaRef ds:uri="c1650999-6932-41a9-a8a2-2409f645d9bf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Thabang Jacobus Matsepe</dc:creator>
  <cp:lastModifiedBy>Thabang Jacobus Matsepe</cp:lastModifiedBy>
  <dcterms:created xsi:type="dcterms:W3CDTF">2026-09-21T18:58:06Z</dcterms:created>
  <dcterms:modified xsi:type="dcterms:W3CDTF">2026-09-22T07:55:02Z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0x01010066F761D7CE4DA342AE895CE291766DF0</vt:lpwstr>
  </property>
</Properties>
</file>